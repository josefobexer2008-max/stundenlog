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13_ncr:1_{4738FBB4-5B98-4DDB-B528-4C69FD1BE6E5}" xr6:coauthVersionLast="47" xr6:coauthVersionMax="47" xr10:uidLastSave="{00000000-0000-0000-0000-000000000000}"/>
  <bookViews>
    <workbookView xWindow="19080" yWindow="-120" windowWidth="29040" windowHeight="15720"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1" l="1"/>
  <c r="H51" i="11" l="1"/>
  <c r="I5" i="11"/>
  <c r="I6" i="11" s="1"/>
  <c r="H98" i="11"/>
  <c r="H97" i="11"/>
  <c r="H78" i="11"/>
  <c r="H69" i="11"/>
  <c r="H68" i="11"/>
  <c r="H67" i="11"/>
  <c r="H65" i="11"/>
  <c r="H49" i="11"/>
  <c r="H48" i="11"/>
  <c r="H30" i="11"/>
  <c r="H8" i="11"/>
  <c r="H9" i="11" l="1"/>
  <c r="H66" i="11" l="1"/>
  <c r="H10" i="11"/>
  <c r="H52" i="11"/>
  <c r="H31" i="11"/>
  <c r="J5" i="11"/>
  <c r="I4" i="11"/>
  <c r="K5" i="11" l="1"/>
  <c r="J6" i="11"/>
  <c r="H53" i="11"/>
  <c r="H33" i="11"/>
  <c r="H11" i="11"/>
  <c r="H12" i="11"/>
  <c r="L5" i="11" l="1"/>
  <c r="K6" i="11"/>
  <c r="H39" i="11"/>
  <c r="H34"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<sst xmlns="http://schemas.openxmlformats.org/spreadsheetml/2006/main" count="135" uniqueCount="127">
  <si>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</si>
  <si>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</si>
  <si>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</si>
  <si>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</si>
  <si>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</si>
  <si>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</si>
  <si>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</si>
  <si>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</si>
  <si>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</si>
  <si>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</si>
  <si>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</si>
  <si>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</si>
  <si>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</si>
  <si>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</si>
  <si>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AUFGABE</t>
  </si>
  <si>
    <t>Aufgabe 1</t>
  </si>
  <si>
    <t>Aufgabe 2</t>
  </si>
  <si>
    <t>Aufgabe 3</t>
  </si>
  <si>
    <t>Aufgabe 4</t>
  </si>
  <si>
    <t>Aufgabe 5</t>
  </si>
  <si>
    <t>Neue Zeilen ÜBER dieser einfügen</t>
  </si>
  <si>
    <t>Projektanfang:</t>
  </si>
  <si>
    <t>Anzeigewoche:</t>
  </si>
  <si>
    <t>ZUGEWIESEN
AN</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</si>
  <si>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</si>
  <si>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</si>
  <si>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</si>
  <si>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</si>
  <si>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</si>
  <si>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</si>
  <si>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</si>
  <si>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</si>
  <si>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</si>
  <si>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</si>
  <si>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</si>
  <si>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</si>
  <si>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</si>
  <si>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</si>
  <si>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</si>
  <si>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</si>
  <si>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</si>
  <si>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</si>
  <si>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</si>
  <si>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</si>
  <si>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Entwurfsplanung</t>
  </si>
  <si>
    <t>Vorentwurfsplanung</t>
  </si>
  <si>
    <t>Einreichplanung</t>
  </si>
  <si>
    <t>Detailplanung</t>
  </si>
  <si>
    <t>Abrechnung</t>
  </si>
  <si>
    <t>Visualisierung</t>
  </si>
  <si>
    <t>Zeitpuffer</t>
  </si>
  <si>
    <t>Grundstücksanalyse</t>
  </si>
  <si>
    <t>Kostenberechnung erstellen</t>
  </si>
  <si>
    <t>Mengenermittlung erstellen</t>
  </si>
  <si>
    <t>3D Modell für Renderings vorbereiten</t>
  </si>
  <si>
    <t>Ausrichtung nach Himmelsrichtungen</t>
  </si>
  <si>
    <t>Zufahrt und Zugänge festlegen</t>
  </si>
  <si>
    <t>Lichtachsen und Verschattung</t>
  </si>
  <si>
    <t>Raumprogramm festlegen</t>
  </si>
  <si>
    <t>Raumgrößen Kontrolieren</t>
  </si>
  <si>
    <t>Verkehrsflächen Optimieren</t>
  </si>
  <si>
    <t>Treppenhaus dimensionieren</t>
  </si>
  <si>
    <t>Fluchtwege festlegen</t>
  </si>
  <si>
    <t>Deckensystem wählen</t>
  </si>
  <si>
    <t>Spannweiten Prüffen</t>
  </si>
  <si>
    <t>Wic</t>
  </si>
  <si>
    <t>Sc</t>
  </si>
  <si>
    <t>Kellerkonzept festlegen</t>
  </si>
  <si>
    <t>Technikraum Positionieren (UG)</t>
  </si>
  <si>
    <t>Kellerabteile/Lagerräume planen</t>
  </si>
  <si>
    <t>Erschliesung Keller-EG festlegen</t>
  </si>
  <si>
    <t>Kellergrundriss ausarbeiten</t>
  </si>
  <si>
    <t>Gebäudeform und Position festlegen</t>
  </si>
  <si>
    <t>Erschliesungskonzept festlegen (EG)</t>
  </si>
  <si>
    <t>Dachform wählen</t>
  </si>
  <si>
    <t>Fensterkonzept grob festlegen</t>
  </si>
  <si>
    <t>Grundskizzen erstellen</t>
  </si>
  <si>
    <t>Varianten vergleichen</t>
  </si>
  <si>
    <t>Gruppensitzung mit Verbesserungsvorschläge</t>
  </si>
  <si>
    <t xml:space="preserve">Änderungen aus Gruppensitzung umsetzen </t>
  </si>
  <si>
    <t>Abstimmung mit Tutor</t>
  </si>
  <si>
    <t xml:space="preserve">Möbelierung einzeichnen </t>
  </si>
  <si>
    <t xml:space="preserve">Erschließung Optimieren </t>
  </si>
  <si>
    <t>Tragende Wände/Stützen festlegen</t>
  </si>
  <si>
    <t xml:space="preserve">Fensteranordnung optimieren </t>
  </si>
  <si>
    <t>Fassaden- und Dachgestallung</t>
  </si>
  <si>
    <t>Materialkonzept erstellen</t>
  </si>
  <si>
    <t>Wärmeschutzkonzept</t>
  </si>
  <si>
    <t>Wirtschaftlichkeit prüffen</t>
  </si>
  <si>
    <t>Freigabe für Einreichplanung</t>
  </si>
  <si>
    <t>UG1 modellieren</t>
  </si>
  <si>
    <t>EG modellieren</t>
  </si>
  <si>
    <t xml:space="preserve">OG1 modellieren </t>
  </si>
  <si>
    <t xml:space="preserve">Dach modellieren </t>
  </si>
  <si>
    <t>Grundrisse ableiten</t>
  </si>
  <si>
    <t>Schnitte ableiten</t>
  </si>
  <si>
    <t>Ansichten ableiten</t>
  </si>
  <si>
    <t>Lageplan erstellen</t>
  </si>
  <si>
    <t>Flächenberechnung</t>
  </si>
  <si>
    <t>Kubaturberechnung</t>
  </si>
  <si>
    <t>Planlayout erstellen</t>
  </si>
  <si>
    <t>Interne Qualitätskontrolle durch Tutor</t>
  </si>
  <si>
    <t>Einreichplanung abschliesen</t>
  </si>
  <si>
    <t>Detailzeichungen erstellen</t>
  </si>
  <si>
    <t>Nachweis für Wärmeschutz erbringen</t>
  </si>
  <si>
    <t>Nachweis für Schallschutz erbringen</t>
  </si>
  <si>
    <t>Nachweis für Brandschutzkonzept erbringen</t>
  </si>
  <si>
    <t>Nachweis für Luftdichtheit erbingen</t>
  </si>
  <si>
    <t>Bodenaufbau festlegen</t>
  </si>
  <si>
    <t>Lüftungssystem</t>
  </si>
  <si>
    <t xml:space="preserve">Heizsystem </t>
  </si>
  <si>
    <t>PV- Anlage</t>
  </si>
  <si>
    <t>-</t>
  </si>
  <si>
    <t>Geländemodel modellieren</t>
  </si>
  <si>
    <t>Garage/Stellplätze im Keller erstellen</t>
  </si>
  <si>
    <t>Vorenwurf abschliesen durch gegenseitige Kontrolle</t>
  </si>
  <si>
    <t>Matura Abschlussprojekt</t>
  </si>
  <si>
    <t>Modellbauplanung</t>
  </si>
  <si>
    <t>Modellbau</t>
  </si>
  <si>
    <t>Vorstellen vor Ausgewähler Kommision (mit Fachlehrern)</t>
  </si>
  <si>
    <t>Freigabe zug abgabe des Projekts</t>
  </si>
  <si>
    <t>Infrastrukturplan erstellen</t>
  </si>
  <si>
    <t>(Schülerspezifische Spezialisierung)</t>
  </si>
  <si>
    <t>Sicherheitspplan erstellen</t>
  </si>
  <si>
    <t>Qualitätskontrolle des BIM models durch Schulinternene Person</t>
  </si>
  <si>
    <t>OG2/DG modelieren</t>
  </si>
  <si>
    <t xml:space="preserve">Projektleiter: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</si>
</sst>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2" tint="-0.249977111117893"/>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0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6" fontId="9" fillId="45" borderId="2" xfId="10" applyNumberFormat="1" applyFill="1">
      <alignment horizontal="center" vertical="center"/>
    </xf>
    <xf numFmtId="0" fontId="6" fillId="45" borderId="2" xfId="0" applyFont="1" applyFill="1" applyBorder="1" applyAlignment="1">
      <alignment horizontal="left" vertical="center" indent="1"/>
    </xf>
    <xf numFmtId="166" fontId="0" fillId="45" borderId="2" xfId="0" applyNumberFormat="1" applyFill="1" applyBorder="1" applyAlignment="1">
      <alignment horizontal="center" vertical="center"/>
    </xf>
    <xf numFmtId="166" fontId="5" fillId="45" borderId="2" xfId="0" applyNumberFormat="1" applyFont="1" applyFill="1" applyBorder="1" applyAlignment="1">
      <alignment horizontal="center" vertical="center"/>
    </xf>
    <xf numFmtId="0" fontId="9" fillId="8" borderId="2" xfId="12" applyFill="1">
      <alignment horizontal="left" vertical="center" indent="2"/>
    </xf>
    <xf numFmtId="166" fontId="9" fillId="8" borderId="2" xfId="10" applyNumberFormat="1" applyFill="1">
      <alignment horizontal="center" vertical="center"/>
    </xf>
    <xf numFmtId="0" fontId="6" fillId="46" borderId="2" xfId="0" applyFont="1" applyFill="1" applyBorder="1" applyAlignment="1">
      <alignment horizontal="left" vertical="center" indent="1"/>
    </xf>
    <xf numFmtId="0" fontId="9" fillId="46" borderId="2" xfId="11" applyFill="1">
      <alignment horizontal="center" vertical="center"/>
    </xf>
    <xf numFmtId="9" fontId="5" fillId="46" borderId="2" xfId="2" applyFont="1" applyFill="1" applyBorder="1" applyAlignment="1">
      <alignment horizontal="center" vertical="center"/>
    </xf>
    <xf numFmtId="166" fontId="0" fillId="46" borderId="2" xfId="0" applyNumberFormat="1" applyFill="1" applyBorder="1" applyAlignment="1">
      <alignment horizontal="center" vertical="center"/>
    </xf>
    <xf numFmtId="166" fontId="5" fillId="46" borderId="2" xfId="0" applyNumberFormat="1" applyFont="1" applyFill="1" applyBorder="1" applyAlignment="1">
      <alignment horizontal="center" vertical="center"/>
    </xf>
    <xf numFmtId="0" fontId="9" fillId="46" borderId="2" xfId="12" applyFill="1">
      <alignment horizontal="left" vertical="center" indent="2"/>
    </xf>
    <xf numFmtId="166" fontId="9" fillId="46" borderId="2" xfId="10" applyNumberFormat="1" applyFill="1">
      <alignment horizontal="center" vertical="center"/>
    </xf>
    <xf numFmtId="166" fontId="23" fillId="8" borderId="2" xfId="0" applyNumberFormat="1" applyFont="1" applyFill="1" applyBorder="1" applyAlignment="1">
      <alignment horizontal="center"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1" fmlaLink="$E$4" horiz="1" max="100" page="0" val="4"/>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47625</xdr:colOff>
          <xdr:row>1</xdr:row>
          <xdr:rowOff>352425</xdr:rowOff>
        </xdr:from>
        <xdr:to>
          <xdr:col>41</xdr:col>
          <xdr:colOff>123825</xdr:colOff>
          <xdr:row>2</xdr:row>
          <xdr:rowOff>323850</xdr:rowOff>
        </xdr:to>
        <xdr:sp macro="" textlink="">
          <xdr:nvSpPr>
            <xdr:cNvPr id="2050" name="Scroll Bar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url"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101"/>
  <sheetViews>
    <sheetView showGridLines="0" tabSelected="1" showRuler="0" zoomScale="85" zoomScaleNormal="85" zoomScalePageLayoutView="70" workbookViewId="0">
      <pane ySplit="6" topLeftCell="A8" activePane="bottomLeft" state="frozen"/>
      <selection pane="bottomLeft" activeCell="C3" sqref="C3:D3"/>
    </sheetView>
  </sheetViews>
  <sheetFormatPr baseColWidth="10" defaultColWidth="9.140625" defaultRowHeight="30" customHeight="1" x14ac:dyDescent="0.25"/>
  <cols>
    <col min="1" max="1" width="2.7109375" style="43" customWidth="1"/>
    <col min="2" max="2" width="37.71093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4" t="s">
        <v>0</v>
      </c>
      <c r="B1" s="47" t="s">
        <v>116</v>
      </c>
      <c r="C1" s="1"/>
      <c r="D1" s="2"/>
      <c r="E1" s="4"/>
      <c r="F1" s="32"/>
      <c r="H1" s="2"/>
      <c r="I1" s="65"/>
    </row>
    <row r="2" spans="1:64" ht="30" customHeight="1" x14ac:dyDescent="0.3">
      <c r="A2" s="43" t="s">
        <v>1</v>
      </c>
      <c r="B2" s="48"/>
      <c r="I2" s="66" t="s">
        <v>30</v>
      </c>
    </row>
    <row r="3" spans="1:64" ht="30" customHeight="1" x14ac:dyDescent="0.25">
      <c r="A3" s="43" t="s">
        <v>2</v>
      </c>
      <c r="B3" s="49" t="s">
        <v>126</v>
      </c>
      <c r="C3" s="107" t="s">
        <v>21</v>
      </c>
      <c r="D3" s="108"/>
      <c r="E3" s="106">
        <v>46282</v>
      </c>
      <c r="F3" s="106"/>
    </row>
    <row r="4" spans="1:64" ht="30" customHeight="1" x14ac:dyDescent="0.25">
      <c r="A4" s="44" t="s">
        <v>3</v>
      </c>
      <c r="C4" s="107" t="s">
        <v>22</v>
      </c>
      <c r="D4" s="108"/>
      <c r="E4" s="7">
        <v>4</v>
      </c>
      <c r="I4" s="103">
        <f>I5</f>
        <v>46300</v>
      </c>
      <c r="J4" s="104"/>
      <c r="K4" s="104"/>
      <c r="L4" s="104"/>
      <c r="M4" s="104"/>
      <c r="N4" s="104"/>
      <c r="O4" s="105"/>
      <c r="P4" s="103">
        <f>P5</f>
        <v>46307</v>
      </c>
      <c r="Q4" s="104"/>
      <c r="R4" s="104"/>
      <c r="S4" s="104"/>
      <c r="T4" s="104"/>
      <c r="U4" s="104"/>
      <c r="V4" s="105"/>
      <c r="W4" s="103">
        <f>W5</f>
        <v>46314</v>
      </c>
      <c r="X4" s="104"/>
      <c r="Y4" s="104"/>
      <c r="Z4" s="104"/>
      <c r="AA4" s="104"/>
      <c r="AB4" s="104"/>
      <c r="AC4" s="105"/>
      <c r="AD4" s="103">
        <f>AD5</f>
        <v>46321</v>
      </c>
      <c r="AE4" s="104"/>
      <c r="AF4" s="104"/>
      <c r="AG4" s="104"/>
      <c r="AH4" s="104"/>
      <c r="AI4" s="104"/>
      <c r="AJ4" s="105"/>
      <c r="AK4" s="103">
        <f>AK5</f>
        <v>46328</v>
      </c>
      <c r="AL4" s="104"/>
      <c r="AM4" s="104"/>
      <c r="AN4" s="104"/>
      <c r="AO4" s="104"/>
      <c r="AP4" s="104"/>
      <c r="AQ4" s="105"/>
      <c r="AR4" s="103">
        <f>AR5</f>
        <v>46335</v>
      </c>
      <c r="AS4" s="104"/>
      <c r="AT4" s="104"/>
      <c r="AU4" s="104"/>
      <c r="AV4" s="104"/>
      <c r="AW4" s="104"/>
      <c r="AX4" s="105"/>
      <c r="AY4" s="103">
        <f>AY5</f>
        <v>46342</v>
      </c>
      <c r="AZ4" s="104"/>
      <c r="BA4" s="104"/>
      <c r="BB4" s="104"/>
      <c r="BC4" s="104"/>
      <c r="BD4" s="104"/>
      <c r="BE4" s="105"/>
      <c r="BF4" s="103">
        <f>BF5</f>
        <v>46349</v>
      </c>
      <c r="BG4" s="104"/>
      <c r="BH4" s="104"/>
      <c r="BI4" s="104"/>
      <c r="BJ4" s="104"/>
      <c r="BK4" s="104"/>
      <c r="BL4" s="105"/>
    </row>
    <row r="5" spans="1:64" ht="15" customHeight="1" x14ac:dyDescent="0.25">
      <c r="A5" s="44" t="s">
        <v>4</v>
      </c>
      <c r="B5" s="64"/>
      <c r="C5" s="64"/>
      <c r="D5" s="64"/>
      <c r="E5" s="64"/>
      <c r="F5" s="64"/>
      <c r="G5" s="64"/>
      <c r="I5" s="83">
        <f>Projektanfang-WEEKDAY(Projektanfang,1)+2+7*(Anzeigewoche-1)</f>
        <v>46300</v>
      </c>
      <c r="J5" s="84">
        <f>I5+1</f>
        <v>46301</v>
      </c>
      <c r="K5" s="84">
        <f t="shared" ref="K5:AX5" si="0">J5+1</f>
        <v>46302</v>
      </c>
      <c r="L5" s="84">
        <f t="shared" si="0"/>
        <v>46303</v>
      </c>
      <c r="M5" s="84">
        <f t="shared" si="0"/>
        <v>46304</v>
      </c>
      <c r="N5" s="84">
        <f t="shared" si="0"/>
        <v>46305</v>
      </c>
      <c r="O5" s="85">
        <f t="shared" si="0"/>
        <v>46306</v>
      </c>
      <c r="P5" s="83">
        <f>O5+1</f>
        <v>46307</v>
      </c>
      <c r="Q5" s="84">
        <f>P5+1</f>
        <v>46308</v>
      </c>
      <c r="R5" s="84">
        <f t="shared" si="0"/>
        <v>46309</v>
      </c>
      <c r="S5" s="84">
        <f t="shared" si="0"/>
        <v>46310</v>
      </c>
      <c r="T5" s="84">
        <f t="shared" si="0"/>
        <v>46311</v>
      </c>
      <c r="U5" s="84">
        <f t="shared" si="0"/>
        <v>46312</v>
      </c>
      <c r="V5" s="85">
        <f t="shared" si="0"/>
        <v>46313</v>
      </c>
      <c r="W5" s="83">
        <f>V5+1</f>
        <v>46314</v>
      </c>
      <c r="X5" s="84">
        <f>W5+1</f>
        <v>46315</v>
      </c>
      <c r="Y5" s="84">
        <f t="shared" si="0"/>
        <v>46316</v>
      </c>
      <c r="Z5" s="84">
        <f t="shared" si="0"/>
        <v>46317</v>
      </c>
      <c r="AA5" s="84">
        <f t="shared" si="0"/>
        <v>46318</v>
      </c>
      <c r="AB5" s="84">
        <f t="shared" si="0"/>
        <v>46319</v>
      </c>
      <c r="AC5" s="85">
        <f t="shared" si="0"/>
        <v>46320</v>
      </c>
      <c r="AD5" s="83">
        <f>AC5+1</f>
        <v>46321</v>
      </c>
      <c r="AE5" s="84">
        <f>AD5+1</f>
        <v>46322</v>
      </c>
      <c r="AF5" s="84">
        <f t="shared" si="0"/>
        <v>46323</v>
      </c>
      <c r="AG5" s="84">
        <f t="shared" si="0"/>
        <v>46324</v>
      </c>
      <c r="AH5" s="84">
        <f t="shared" si="0"/>
        <v>46325</v>
      </c>
      <c r="AI5" s="84">
        <f t="shared" si="0"/>
        <v>46326</v>
      </c>
      <c r="AJ5" s="85">
        <f t="shared" si="0"/>
        <v>46327</v>
      </c>
      <c r="AK5" s="83">
        <f>AJ5+1</f>
        <v>46328</v>
      </c>
      <c r="AL5" s="84">
        <f>AK5+1</f>
        <v>46329</v>
      </c>
      <c r="AM5" s="84">
        <f t="shared" si="0"/>
        <v>46330</v>
      </c>
      <c r="AN5" s="84">
        <f t="shared" si="0"/>
        <v>46331</v>
      </c>
      <c r="AO5" s="84">
        <f t="shared" si="0"/>
        <v>46332</v>
      </c>
      <c r="AP5" s="84">
        <f t="shared" si="0"/>
        <v>46333</v>
      </c>
      <c r="AQ5" s="85">
        <f t="shared" si="0"/>
        <v>46334</v>
      </c>
      <c r="AR5" s="83">
        <f>AQ5+1</f>
        <v>46335</v>
      </c>
      <c r="AS5" s="84">
        <f>AR5+1</f>
        <v>46336</v>
      </c>
      <c r="AT5" s="84">
        <f t="shared" si="0"/>
        <v>46337</v>
      </c>
      <c r="AU5" s="84">
        <f t="shared" si="0"/>
        <v>46338</v>
      </c>
      <c r="AV5" s="84">
        <f t="shared" si="0"/>
        <v>46339</v>
      </c>
      <c r="AW5" s="84">
        <f t="shared" si="0"/>
        <v>46340</v>
      </c>
      <c r="AX5" s="85">
        <f t="shared" si="0"/>
        <v>46341</v>
      </c>
      <c r="AY5" s="83">
        <f>AX5+1</f>
        <v>46342</v>
      </c>
      <c r="AZ5" s="84">
        <f>AY5+1</f>
        <v>46343</v>
      </c>
      <c r="BA5" s="84">
        <f t="shared" ref="BA5:BE5" si="1">AZ5+1</f>
        <v>46344</v>
      </c>
      <c r="BB5" s="84">
        <f t="shared" si="1"/>
        <v>46345</v>
      </c>
      <c r="BC5" s="84">
        <f t="shared" si="1"/>
        <v>46346</v>
      </c>
      <c r="BD5" s="84">
        <f t="shared" si="1"/>
        <v>46347</v>
      </c>
      <c r="BE5" s="85">
        <f t="shared" si="1"/>
        <v>46348</v>
      </c>
      <c r="BF5" s="83">
        <f>BE5+1</f>
        <v>46349</v>
      </c>
      <c r="BG5" s="84">
        <f>BF5+1</f>
        <v>46350</v>
      </c>
      <c r="BH5" s="84">
        <f t="shared" ref="BH5:BL5" si="2">BG5+1</f>
        <v>46351</v>
      </c>
      <c r="BI5" s="84">
        <f t="shared" si="2"/>
        <v>46352</v>
      </c>
      <c r="BJ5" s="84">
        <f t="shared" si="2"/>
        <v>46353</v>
      </c>
      <c r="BK5" s="84">
        <f t="shared" si="2"/>
        <v>46354</v>
      </c>
      <c r="BL5" s="85">
        <f t="shared" si="2"/>
        <v>46355</v>
      </c>
    </row>
    <row r="6" spans="1:64" ht="30" customHeight="1" thickBot="1" x14ac:dyDescent="0.3">
      <c r="A6" s="44" t="s">
        <v>5</v>
      </c>
      <c r="B6" s="8" t="s">
        <v>14</v>
      </c>
      <c r="C6" s="9" t="s">
        <v>23</v>
      </c>
      <c r="D6" s="9" t="s">
        <v>24</v>
      </c>
      <c r="E6" s="9" t="s">
        <v>25</v>
      </c>
      <c r="F6" s="9" t="s">
        <v>27</v>
      </c>
      <c r="G6" s="9"/>
      <c r="H6" s="9" t="s">
        <v>28</v>
      </c>
      <c r="I6" s="10" t="str">
        <f t="shared" ref="I6:AN6" si="3">LEFT(TEXT(I5,"TTT"),1)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L6" si="4">LEFT(TEXT(AO5,"TTT"),1)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x14ac:dyDescent="0.3">
      <c r="A7" s="43" t="s">
        <v>6</v>
      </c>
      <c r="C7" s="46"/>
      <c r="E7"/>
      <c r="H7" t="str">
        <f>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row>
    <row r="8" spans="1:64" s="3" customFormat="1" ht="30" customHeight="1" thickBot="1" x14ac:dyDescent="0.3">
      <c r="A8" s="44" t="s">
        <v>7</v>
      </c>
      <c r="B8" s="15" t="s">
        <v>45</v>
      </c>
      <c r="C8" s="50"/>
      <c r="D8" s="16"/>
      <c r="E8" s="68">
        <v>46282</v>
      </c>
      <c r="F8" s="102">
        <v>46327</v>
      </c>
      <c r="G8" s="14"/>
      <c r="H8" s="14">
        <f t="shared" ref="H8:H98" si="5">IF(OR(ISBLANK(task_start),ISBLANK(task_end)),"",task_end-task_start+1)</f>
        <v>46</v>
      </c>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row>
    <row r="9" spans="1:64" s="3" customFormat="1" ht="30" customHeight="1" thickBot="1" x14ac:dyDescent="0.3">
      <c r="A9" s="44" t="s">
        <v>8</v>
      </c>
      <c r="B9" s="59" t="s">
        <v>51</v>
      </c>
      <c r="C9" s="51"/>
      <c r="D9" s="17">
        <v>1</v>
      </c>
      <c r="E9" s="70"/>
      <c r="F9" s="70"/>
      <c r="G9" s="14"/>
      <c r="H9" s="14" t="str">
        <f t="shared" si="5"/>
        <v/>
      </c>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row>
    <row r="10" spans="1:64" s="3" customFormat="1" ht="30" customHeight="1" thickBot="1" x14ac:dyDescent="0.3">
      <c r="A10" s="44" t="s">
        <v>9</v>
      </c>
      <c r="B10" s="59" t="s">
        <v>55</v>
      </c>
      <c r="C10" s="51"/>
      <c r="D10" s="17">
        <v>0.6</v>
      </c>
      <c r="E10" s="70"/>
      <c r="F10" s="70"/>
      <c r="G10" s="14"/>
      <c r="H10" s="14" t="str">
        <f t="shared" si="5"/>
        <v/>
      </c>
      <c r="I10" s="29"/>
      <c r="J10" s="29"/>
      <c r="K10" s="29"/>
      <c r="L10" s="29"/>
      <c r="M10" s="29"/>
      <c r="N10" s="29"/>
      <c r="O10" s="29"/>
      <c r="P10" s="29"/>
      <c r="Q10" s="29"/>
      <c r="R10" s="29"/>
      <c r="S10" s="29"/>
      <c r="T10" s="29"/>
      <c r="U10" s="30"/>
      <c r="V10" s="30"/>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row>
    <row r="11" spans="1:64" s="3" customFormat="1" ht="30" customHeight="1" thickBot="1" x14ac:dyDescent="0.3">
      <c r="A11" s="43"/>
      <c r="B11" s="59" t="s">
        <v>57</v>
      </c>
      <c r="C11" s="51"/>
      <c r="D11" s="17">
        <v>0.4</v>
      </c>
      <c r="E11" s="70"/>
      <c r="F11" s="70"/>
      <c r="G11" s="14"/>
      <c r="H11" s="14" t="str">
        <f t="shared" si="5"/>
        <v/>
      </c>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row>
    <row r="12" spans="1:64" s="3" customFormat="1" ht="30" customHeight="1" thickBot="1" x14ac:dyDescent="0.3">
      <c r="A12" s="43"/>
      <c r="B12" s="59" t="s">
        <v>56</v>
      </c>
      <c r="C12" s="51"/>
      <c r="D12" s="17">
        <v>0.8</v>
      </c>
      <c r="E12" s="70"/>
      <c r="F12" s="70"/>
      <c r="G12" s="14"/>
      <c r="H12" s="14" t="str">
        <f t="shared" si="5"/>
        <v/>
      </c>
      <c r="I12" s="29"/>
      <c r="J12" s="29"/>
      <c r="K12" s="29"/>
      <c r="L12" s="29"/>
      <c r="M12" s="29"/>
      <c r="N12" s="29"/>
      <c r="O12" s="29"/>
      <c r="P12" s="29"/>
      <c r="Q12" s="29"/>
      <c r="R12" s="29"/>
      <c r="S12" s="29"/>
      <c r="T12" s="29"/>
      <c r="U12" s="29"/>
      <c r="V12" s="29"/>
      <c r="W12" s="29"/>
      <c r="X12" s="29"/>
      <c r="Y12" s="30"/>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row>
    <row r="13" spans="1:64" s="3" customFormat="1" ht="30" customHeight="1" thickBot="1" x14ac:dyDescent="0.3">
      <c r="A13" s="43"/>
      <c r="B13" s="59" t="s">
        <v>58</v>
      </c>
      <c r="C13" s="51"/>
      <c r="D13" s="17">
        <v>0</v>
      </c>
      <c r="E13" s="70"/>
      <c r="F13" s="70"/>
      <c r="G13" s="14"/>
      <c r="H13" s="14"/>
      <c r="I13" s="29"/>
      <c r="J13" s="29"/>
      <c r="K13" s="29"/>
      <c r="L13" s="29"/>
      <c r="M13" s="29"/>
      <c r="N13" s="29"/>
      <c r="O13" s="29"/>
      <c r="P13" s="29"/>
      <c r="Q13" s="29"/>
      <c r="R13" s="29"/>
      <c r="S13" s="29"/>
      <c r="T13" s="29"/>
      <c r="U13" s="29"/>
      <c r="V13" s="29"/>
      <c r="W13" s="29"/>
      <c r="X13" s="29"/>
      <c r="Y13" s="30"/>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row>
    <row r="14" spans="1:64" s="3" customFormat="1" ht="30" customHeight="1" thickBot="1" x14ac:dyDescent="0.3">
      <c r="A14" s="43"/>
      <c r="B14" s="59" t="s">
        <v>67</v>
      </c>
      <c r="C14" s="51"/>
      <c r="D14" s="17">
        <v>0.4</v>
      </c>
      <c r="E14" s="70"/>
      <c r="F14" s="70"/>
      <c r="G14" s="14"/>
      <c r="H14" s="14"/>
      <c r="I14" s="29"/>
      <c r="J14" s="29"/>
      <c r="K14" s="29"/>
      <c r="L14" s="29"/>
      <c r="M14" s="29"/>
      <c r="N14" s="29"/>
      <c r="O14" s="29"/>
      <c r="P14" s="29"/>
      <c r="Q14" s="29"/>
      <c r="R14" s="29"/>
      <c r="S14" s="29"/>
      <c r="T14" s="29"/>
      <c r="U14" s="29"/>
      <c r="V14" s="29"/>
      <c r="W14" s="29"/>
      <c r="X14" s="29"/>
      <c r="Y14" s="30"/>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row>
    <row r="15" spans="1:64" s="3" customFormat="1" ht="30" customHeight="1" thickBot="1" x14ac:dyDescent="0.3">
      <c r="A15" s="43"/>
      <c r="B15" s="59" t="s">
        <v>68</v>
      </c>
      <c r="C15" s="51"/>
      <c r="D15" s="17">
        <v>0</v>
      </c>
      <c r="E15" s="70"/>
      <c r="F15" s="70"/>
      <c r="G15" s="14"/>
      <c r="H15" s="14"/>
      <c r="I15" s="29"/>
      <c r="J15" s="29"/>
      <c r="K15" s="29"/>
      <c r="L15" s="29"/>
      <c r="M15" s="29"/>
      <c r="N15" s="29"/>
      <c r="O15" s="29"/>
      <c r="P15" s="29"/>
      <c r="Q15" s="29"/>
      <c r="R15" s="29"/>
      <c r="S15" s="29"/>
      <c r="T15" s="29"/>
      <c r="U15" s="29"/>
      <c r="V15" s="29"/>
      <c r="W15" s="29"/>
      <c r="X15" s="29"/>
      <c r="Y15" s="30"/>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row>
    <row r="16" spans="1:64" s="3" customFormat="1" ht="30" customHeight="1" thickBot="1" x14ac:dyDescent="0.3">
      <c r="A16" s="43"/>
      <c r="B16" s="59" t="s">
        <v>69</v>
      </c>
      <c r="C16" s="51"/>
      <c r="D16" s="17">
        <v>0.1</v>
      </c>
      <c r="E16" s="70"/>
      <c r="F16" s="70"/>
      <c r="G16" s="14"/>
      <c r="H16" s="14"/>
      <c r="I16" s="29"/>
      <c r="J16" s="29"/>
      <c r="K16" s="29"/>
      <c r="L16" s="29"/>
      <c r="M16" s="29"/>
      <c r="N16" s="29"/>
      <c r="O16" s="29"/>
      <c r="P16" s="29"/>
      <c r="Q16" s="29"/>
      <c r="R16" s="29"/>
      <c r="S16" s="29"/>
      <c r="T16" s="29"/>
      <c r="U16" s="29"/>
      <c r="V16" s="29"/>
      <c r="W16" s="29"/>
      <c r="X16" s="29"/>
      <c r="Y16" s="30"/>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row>
    <row r="17" spans="1:64" s="3" customFormat="1" ht="30" customHeight="1" thickBot="1" x14ac:dyDescent="0.3">
      <c r="A17" s="43"/>
      <c r="B17" s="59" t="s">
        <v>114</v>
      </c>
      <c r="C17" s="51"/>
      <c r="D17" s="17">
        <v>0.8</v>
      </c>
      <c r="E17" s="70"/>
      <c r="F17" s="70"/>
      <c r="G17" s="14"/>
      <c r="H17" s="14"/>
      <c r="I17" s="29"/>
      <c r="J17" s="29"/>
      <c r="K17" s="29"/>
      <c r="L17" s="29"/>
      <c r="M17" s="29"/>
      <c r="N17" s="29"/>
      <c r="O17" s="29"/>
      <c r="P17" s="29"/>
      <c r="Q17" s="29"/>
      <c r="R17" s="29"/>
      <c r="S17" s="29"/>
      <c r="T17" s="29"/>
      <c r="U17" s="29"/>
      <c r="V17" s="29"/>
      <c r="W17" s="29"/>
      <c r="X17" s="29"/>
      <c r="Y17" s="30"/>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row>
    <row r="18" spans="1:64" s="3" customFormat="1" ht="30" customHeight="1" thickBot="1" x14ac:dyDescent="0.3">
      <c r="A18" s="43"/>
      <c r="B18" s="59" t="s">
        <v>70</v>
      </c>
      <c r="C18" s="51"/>
      <c r="D18" s="17">
        <v>0.25</v>
      </c>
      <c r="E18" s="70"/>
      <c r="F18" s="70"/>
      <c r="G18" s="14"/>
      <c r="H18" s="14"/>
      <c r="I18" s="29"/>
      <c r="J18" s="29"/>
      <c r="K18" s="29"/>
      <c r="L18" s="29"/>
      <c r="M18" s="29"/>
      <c r="N18" s="29"/>
      <c r="O18" s="29"/>
      <c r="P18" s="29"/>
      <c r="Q18" s="29"/>
      <c r="R18" s="29"/>
      <c r="S18" s="29"/>
      <c r="T18" s="29"/>
      <c r="U18" s="29"/>
      <c r="V18" s="29"/>
      <c r="W18" s="29"/>
      <c r="X18" s="29"/>
      <c r="Y18" s="30"/>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row>
    <row r="19" spans="1:64" s="3" customFormat="1" ht="30" customHeight="1" thickBot="1" x14ac:dyDescent="0.3">
      <c r="A19" s="43"/>
      <c r="B19" s="59" t="s">
        <v>71</v>
      </c>
      <c r="C19" s="51"/>
      <c r="D19" s="17">
        <v>1</v>
      </c>
      <c r="E19" s="70"/>
      <c r="F19" s="70"/>
      <c r="G19" s="14"/>
      <c r="H19" s="14"/>
      <c r="I19" s="29"/>
      <c r="J19" s="29"/>
      <c r="K19" s="29"/>
      <c r="L19" s="29"/>
      <c r="M19" s="29"/>
      <c r="N19" s="29"/>
      <c r="O19" s="29"/>
      <c r="P19" s="29"/>
      <c r="Q19" s="29"/>
      <c r="R19" s="29"/>
      <c r="S19" s="29"/>
      <c r="T19" s="29"/>
      <c r="U19" s="29"/>
      <c r="V19" s="29"/>
      <c r="W19" s="29"/>
      <c r="X19" s="29"/>
      <c r="Y19" s="30"/>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row>
    <row r="20" spans="1:64" s="3" customFormat="1" ht="30" customHeight="1" thickBot="1" x14ac:dyDescent="0.3">
      <c r="A20" s="43"/>
      <c r="B20" s="59" t="s">
        <v>72</v>
      </c>
      <c r="C20" s="51"/>
      <c r="D20" s="17">
        <v>0.7</v>
      </c>
      <c r="E20" s="70"/>
      <c r="F20" s="70"/>
      <c r="G20" s="14"/>
      <c r="H20" s="14"/>
      <c r="I20" s="29"/>
      <c r="J20" s="29"/>
      <c r="K20" s="29"/>
      <c r="L20" s="29"/>
      <c r="M20" s="29"/>
      <c r="N20" s="29"/>
      <c r="O20" s="29"/>
      <c r="P20" s="29"/>
      <c r="Q20" s="29"/>
      <c r="R20" s="29"/>
      <c r="S20" s="29"/>
      <c r="T20" s="29"/>
      <c r="U20" s="29"/>
      <c r="V20" s="29"/>
      <c r="W20" s="29"/>
      <c r="X20" s="29"/>
      <c r="Y20" s="30"/>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row>
    <row r="21" spans="1:64" s="3" customFormat="1" ht="30" customHeight="1" thickBot="1" x14ac:dyDescent="0.3">
      <c r="A21" s="43"/>
      <c r="B21" s="59" t="s">
        <v>73</v>
      </c>
      <c r="C21" s="51"/>
      <c r="D21" s="17">
        <v>0.4</v>
      </c>
      <c r="E21" s="70"/>
      <c r="F21" s="70"/>
      <c r="G21" s="14"/>
      <c r="H21" s="14"/>
      <c r="I21" s="29"/>
      <c r="J21" s="29"/>
      <c r="K21" s="29"/>
      <c r="L21" s="29"/>
      <c r="M21" s="29"/>
      <c r="N21" s="29"/>
      <c r="O21" s="29"/>
      <c r="P21" s="29"/>
      <c r="Q21" s="29"/>
      <c r="R21" s="29"/>
      <c r="S21" s="29"/>
      <c r="T21" s="29"/>
      <c r="U21" s="29"/>
      <c r="V21" s="29"/>
      <c r="W21" s="29"/>
      <c r="X21" s="29"/>
      <c r="Y21" s="30"/>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row>
    <row r="22" spans="1:64" s="3" customFormat="1" ht="30" customHeight="1" thickBot="1" x14ac:dyDescent="0.3">
      <c r="A22" s="43"/>
      <c r="B22" s="59" t="s">
        <v>74</v>
      </c>
      <c r="C22" s="51"/>
      <c r="D22" s="17">
        <v>0</v>
      </c>
      <c r="E22" s="70"/>
      <c r="F22" s="70"/>
      <c r="G22" s="14"/>
      <c r="H22" s="14"/>
      <c r="I22" s="29"/>
      <c r="J22" s="29"/>
      <c r="K22" s="29"/>
      <c r="L22" s="29"/>
      <c r="M22" s="29"/>
      <c r="N22" s="29"/>
      <c r="O22" s="29"/>
      <c r="P22" s="29"/>
      <c r="Q22" s="29"/>
      <c r="R22" s="29"/>
      <c r="S22" s="29"/>
      <c r="T22" s="29"/>
      <c r="U22" s="29"/>
      <c r="V22" s="29"/>
      <c r="W22" s="29"/>
      <c r="X22" s="29"/>
      <c r="Y22" s="30"/>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row>
    <row r="23" spans="1:64" s="3" customFormat="1" ht="30" customHeight="1" thickBot="1" x14ac:dyDescent="0.3">
      <c r="A23" s="43"/>
      <c r="B23" s="59" t="s">
        <v>75</v>
      </c>
      <c r="C23" s="51"/>
      <c r="D23" s="17">
        <v>0</v>
      </c>
      <c r="E23" s="70"/>
      <c r="F23" s="70"/>
      <c r="G23" s="14"/>
      <c r="H23" s="14"/>
      <c r="I23" s="29"/>
      <c r="J23" s="29"/>
      <c r="K23" s="29"/>
      <c r="L23" s="29"/>
      <c r="M23" s="29"/>
      <c r="N23" s="29"/>
      <c r="O23" s="29"/>
      <c r="P23" s="29"/>
      <c r="Q23" s="29"/>
      <c r="R23" s="29"/>
      <c r="S23" s="29"/>
      <c r="T23" s="29"/>
      <c r="U23" s="29"/>
      <c r="V23" s="29"/>
      <c r="W23" s="29"/>
      <c r="X23" s="29"/>
      <c r="Y23" s="30"/>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row>
    <row r="24" spans="1:64" s="3" customFormat="1" ht="30" customHeight="1" thickBot="1" x14ac:dyDescent="0.3">
      <c r="A24" s="43"/>
      <c r="B24" s="59" t="s">
        <v>76</v>
      </c>
      <c r="C24" s="51"/>
      <c r="D24" s="17">
        <v>0.25</v>
      </c>
      <c r="E24" s="70"/>
      <c r="F24" s="70"/>
      <c r="G24" s="14"/>
      <c r="H24" s="14"/>
      <c r="I24" s="29"/>
      <c r="J24" s="29"/>
      <c r="K24" s="29"/>
      <c r="L24" s="29"/>
      <c r="M24" s="29"/>
      <c r="N24" s="29"/>
      <c r="O24" s="29"/>
      <c r="P24" s="29"/>
      <c r="Q24" s="29"/>
      <c r="R24" s="29"/>
      <c r="S24" s="29"/>
      <c r="T24" s="29"/>
      <c r="U24" s="29"/>
      <c r="V24" s="29"/>
      <c r="W24" s="29"/>
      <c r="X24" s="29"/>
      <c r="Y24" s="30"/>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row>
    <row r="25" spans="1:64" s="3" customFormat="1" ht="30" customHeight="1" thickBot="1" x14ac:dyDescent="0.3">
      <c r="A25" s="43"/>
      <c r="B25" s="59" t="s">
        <v>77</v>
      </c>
      <c r="C25" s="51"/>
      <c r="D25" s="17">
        <v>0</v>
      </c>
      <c r="E25" s="70"/>
      <c r="F25" s="70"/>
      <c r="G25" s="14"/>
      <c r="H25" s="14"/>
      <c r="I25" s="29"/>
      <c r="J25" s="29"/>
      <c r="K25" s="29"/>
      <c r="L25" s="29"/>
      <c r="M25" s="29"/>
      <c r="N25" s="29"/>
      <c r="O25" s="29"/>
      <c r="P25" s="29"/>
      <c r="Q25" s="29"/>
      <c r="R25" s="29"/>
      <c r="S25" s="29"/>
      <c r="T25" s="29"/>
      <c r="U25" s="29"/>
      <c r="V25" s="29"/>
      <c r="W25" s="29"/>
      <c r="X25" s="29"/>
      <c r="Y25" s="30"/>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row>
    <row r="26" spans="1:64" s="3" customFormat="1" ht="30" customHeight="1" thickBot="1" x14ac:dyDescent="0.3">
      <c r="A26" s="43"/>
      <c r="B26" s="59" t="s">
        <v>78</v>
      </c>
      <c r="C26" s="51"/>
      <c r="D26" s="17">
        <v>0</v>
      </c>
      <c r="E26" s="70"/>
      <c r="F26" s="70"/>
      <c r="G26" s="14"/>
      <c r="H26" s="14"/>
      <c r="I26" s="29"/>
      <c r="J26" s="29"/>
      <c r="K26" s="29"/>
      <c r="L26" s="29"/>
      <c r="M26" s="29"/>
      <c r="N26" s="29"/>
      <c r="O26" s="29"/>
      <c r="P26" s="29"/>
      <c r="Q26" s="29"/>
      <c r="R26" s="29"/>
      <c r="S26" s="29"/>
      <c r="T26" s="29"/>
      <c r="U26" s="29"/>
      <c r="V26" s="29"/>
      <c r="W26" s="29"/>
      <c r="X26" s="29"/>
      <c r="Y26" s="30"/>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row>
    <row r="27" spans="1:64" s="3" customFormat="1" ht="30" customHeight="1" thickBot="1" x14ac:dyDescent="0.3">
      <c r="A27" s="43"/>
      <c r="B27" s="59" t="s">
        <v>79</v>
      </c>
      <c r="C27" s="51"/>
      <c r="D27" s="17">
        <v>0</v>
      </c>
      <c r="E27" s="70"/>
      <c r="F27" s="70"/>
      <c r="G27" s="14"/>
      <c r="H27" s="14"/>
      <c r="I27" s="29"/>
      <c r="J27" s="29"/>
      <c r="K27" s="29"/>
      <c r="L27" s="29"/>
      <c r="M27" s="29"/>
      <c r="N27" s="29"/>
      <c r="O27" s="29"/>
      <c r="P27" s="29"/>
      <c r="Q27" s="29"/>
      <c r="R27" s="29"/>
      <c r="S27" s="29"/>
      <c r="T27" s="29"/>
      <c r="U27" s="29"/>
      <c r="V27" s="29"/>
      <c r="W27" s="29"/>
      <c r="X27" s="29"/>
      <c r="Y27" s="30"/>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row>
    <row r="28" spans="1:64" s="3" customFormat="1" ht="30" customHeight="1" thickBot="1" x14ac:dyDescent="0.3">
      <c r="A28" s="43"/>
      <c r="B28" s="59" t="s">
        <v>80</v>
      </c>
      <c r="C28" s="51"/>
      <c r="D28" s="17">
        <v>0</v>
      </c>
      <c r="E28" s="70"/>
      <c r="F28" s="70"/>
      <c r="G28" s="14"/>
      <c r="H28" s="14"/>
      <c r="I28" s="29"/>
      <c r="J28" s="29"/>
      <c r="K28" s="29"/>
      <c r="L28" s="29"/>
      <c r="M28" s="29"/>
      <c r="N28" s="29"/>
      <c r="O28" s="29"/>
      <c r="P28" s="29"/>
      <c r="Q28" s="29"/>
      <c r="R28" s="29"/>
      <c r="S28" s="29"/>
      <c r="T28" s="29"/>
      <c r="U28" s="29"/>
      <c r="V28" s="29"/>
      <c r="W28" s="29"/>
      <c r="X28" s="29"/>
      <c r="Y28" s="30"/>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row>
    <row r="29" spans="1:64" s="3" customFormat="1" ht="30" customHeight="1" thickBot="1" x14ac:dyDescent="0.3">
      <c r="A29" s="43"/>
      <c r="B29" s="59" t="s">
        <v>115</v>
      </c>
      <c r="C29" s="51"/>
      <c r="D29" s="17">
        <v>0</v>
      </c>
      <c r="E29" s="70"/>
      <c r="F29" s="70"/>
      <c r="G29" s="14"/>
      <c r="H29" s="14"/>
      <c r="I29" s="29"/>
      <c r="J29" s="29"/>
      <c r="K29" s="29"/>
      <c r="L29" s="29"/>
      <c r="M29" s="29"/>
      <c r="N29" s="29"/>
      <c r="O29" s="29"/>
      <c r="P29" s="29"/>
      <c r="Q29" s="29"/>
      <c r="R29" s="29"/>
      <c r="S29" s="29"/>
      <c r="T29" s="29"/>
      <c r="U29" s="29"/>
      <c r="V29" s="29"/>
      <c r="W29" s="29"/>
      <c r="X29" s="29"/>
      <c r="Y29" s="30"/>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row>
    <row r="30" spans="1:64" s="3" customFormat="1" ht="30" customHeight="1" thickBot="1" x14ac:dyDescent="0.3">
      <c r="A30" s="44" t="s">
        <v>10</v>
      </c>
      <c r="B30" s="18" t="s">
        <v>44</v>
      </c>
      <c r="C30" s="52"/>
      <c r="D30" s="19"/>
      <c r="E30" s="71">
        <v>46328</v>
      </c>
      <c r="F30" s="72">
        <v>46362</v>
      </c>
      <c r="G30" s="14"/>
      <c r="H30" s="14">
        <f t="shared" si="5"/>
        <v>35</v>
      </c>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row>
    <row r="31" spans="1:64" s="3" customFormat="1" ht="30" customHeight="1" thickBot="1" x14ac:dyDescent="0.3">
      <c r="A31" s="44"/>
      <c r="B31" s="60" t="s">
        <v>59</v>
      </c>
      <c r="C31" s="53"/>
      <c r="D31" s="20">
        <v>0</v>
      </c>
      <c r="E31" s="73"/>
      <c r="F31" s="73"/>
      <c r="G31" s="14"/>
      <c r="H31" s="14" t="str">
        <f t="shared" si="5"/>
        <v/>
      </c>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row>
    <row r="32" spans="1:64" s="3" customFormat="1" ht="30" customHeight="1" thickBot="1" x14ac:dyDescent="0.3">
      <c r="A32" s="44" t="s">
        <v>65</v>
      </c>
      <c r="B32" s="60" t="s">
        <v>81</v>
      </c>
      <c r="C32" s="53"/>
      <c r="D32" s="20">
        <v>0</v>
      </c>
      <c r="E32" s="73"/>
      <c r="F32" s="73"/>
      <c r="G32" s="14"/>
      <c r="H32" s="14"/>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row>
    <row r="33" spans="1:64" s="3" customFormat="1" ht="30" customHeight="1" thickBot="1" x14ac:dyDescent="0.3">
      <c r="A33" s="43"/>
      <c r="B33" s="60" t="s">
        <v>60</v>
      </c>
      <c r="C33" s="53"/>
      <c r="D33" s="20">
        <v>0</v>
      </c>
      <c r="E33" s="73"/>
      <c r="F33" s="73"/>
      <c r="G33" s="14"/>
      <c r="H33" s="14" t="str">
        <f t="shared" si="5"/>
        <v/>
      </c>
      <c r="I33" s="29"/>
      <c r="J33" s="29"/>
      <c r="K33" s="29"/>
      <c r="L33" s="29"/>
      <c r="M33" s="29"/>
      <c r="N33" s="29"/>
      <c r="O33" s="29"/>
      <c r="P33" s="29"/>
      <c r="Q33" s="29"/>
      <c r="R33" s="29"/>
      <c r="S33" s="29"/>
      <c r="T33" s="29"/>
      <c r="U33" s="30"/>
      <c r="V33" s="30"/>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row>
    <row r="34" spans="1:64" s="3" customFormat="1" ht="30" customHeight="1" thickBot="1" x14ac:dyDescent="0.3">
      <c r="A34" s="43"/>
      <c r="B34" s="60" t="s">
        <v>82</v>
      </c>
      <c r="C34" s="53"/>
      <c r="D34" s="20">
        <v>0</v>
      </c>
      <c r="E34" s="73"/>
      <c r="F34" s="73"/>
      <c r="G34" s="14"/>
      <c r="H34" s="14" t="str">
        <f t="shared" si="5"/>
        <v/>
      </c>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row>
    <row r="35" spans="1:64" s="3" customFormat="1" ht="30" customHeight="1" thickBot="1" x14ac:dyDescent="0.3">
      <c r="A35" s="43"/>
      <c r="B35" s="60" t="s">
        <v>61</v>
      </c>
      <c r="C35" s="53"/>
      <c r="D35" s="20">
        <v>0</v>
      </c>
      <c r="E35" s="73"/>
      <c r="F35" s="73"/>
      <c r="G35" s="14"/>
      <c r="H35" s="14"/>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row>
    <row r="36" spans="1:64" s="3" customFormat="1" ht="30" customHeight="1" thickBot="1" x14ac:dyDescent="0.3">
      <c r="A36" s="43"/>
      <c r="B36" s="60" t="s">
        <v>62</v>
      </c>
      <c r="C36" s="53"/>
      <c r="D36" s="20">
        <v>0</v>
      </c>
      <c r="E36" s="73"/>
      <c r="F36" s="73"/>
      <c r="G36" s="14"/>
      <c r="H36" s="14"/>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row>
    <row r="37" spans="1:64" s="3" customFormat="1" ht="30" customHeight="1" thickBot="1" x14ac:dyDescent="0.3">
      <c r="A37" s="43"/>
      <c r="B37" s="60" t="s">
        <v>63</v>
      </c>
      <c r="C37" s="53"/>
      <c r="D37" s="20">
        <v>0</v>
      </c>
      <c r="E37" s="73"/>
      <c r="F37" s="73"/>
      <c r="G37" s="14"/>
      <c r="H37" s="14"/>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row>
    <row r="38" spans="1:64" s="3" customFormat="1" ht="30" customHeight="1" thickBot="1" x14ac:dyDescent="0.3">
      <c r="A38" s="43"/>
      <c r="B38" s="60" t="s">
        <v>64</v>
      </c>
      <c r="C38" s="53"/>
      <c r="D38" s="20">
        <v>0</v>
      </c>
      <c r="E38" s="73"/>
      <c r="F38" s="73"/>
      <c r="G38" s="14"/>
      <c r="H38" s="14"/>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row>
    <row r="39" spans="1:64" s="3" customFormat="1" ht="30" customHeight="1" thickBot="1" x14ac:dyDescent="0.3">
      <c r="A39" s="43"/>
      <c r="B39" s="60" t="s">
        <v>83</v>
      </c>
      <c r="C39" s="53"/>
      <c r="D39" s="20">
        <v>0</v>
      </c>
      <c r="E39" s="73"/>
      <c r="F39" s="73"/>
      <c r="G39" s="14"/>
      <c r="H39" s="14" t="str">
        <f t="shared" si="5"/>
        <v/>
      </c>
      <c r="I39" s="29"/>
      <c r="J39" s="29"/>
      <c r="K39" s="29"/>
      <c r="L39" s="29"/>
      <c r="M39" s="29"/>
      <c r="N39" s="29"/>
      <c r="O39" s="29"/>
      <c r="P39" s="29"/>
      <c r="Q39" s="29"/>
      <c r="R39" s="29"/>
      <c r="S39" s="29"/>
      <c r="T39" s="29"/>
      <c r="U39" s="29"/>
      <c r="V39" s="29"/>
      <c r="W39" s="29"/>
      <c r="X39" s="29"/>
      <c r="Y39" s="30"/>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row>
    <row r="40" spans="1:64" s="3" customFormat="1" ht="30" customHeight="1" thickBot="1" x14ac:dyDescent="0.3">
      <c r="A40" s="43"/>
      <c r="B40" s="60" t="s">
        <v>84</v>
      </c>
      <c r="C40" s="53"/>
      <c r="D40" s="20">
        <v>0</v>
      </c>
      <c r="E40" s="73"/>
      <c r="F40" s="73"/>
      <c r="G40" s="14"/>
      <c r="H40" s="14"/>
      <c r="I40" s="29"/>
      <c r="J40" s="29"/>
      <c r="K40" s="29"/>
      <c r="L40" s="29"/>
      <c r="M40" s="29"/>
      <c r="N40" s="29"/>
      <c r="O40" s="29"/>
      <c r="P40" s="29"/>
      <c r="Q40" s="29"/>
      <c r="R40" s="29"/>
      <c r="S40" s="29"/>
      <c r="T40" s="29"/>
      <c r="U40" s="29"/>
      <c r="V40" s="29"/>
      <c r="W40" s="29"/>
      <c r="X40" s="29"/>
      <c r="Y40" s="30"/>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row>
    <row r="41" spans="1:64" s="3" customFormat="1" ht="30" customHeight="1" thickBot="1" x14ac:dyDescent="0.3">
      <c r="A41" s="43"/>
      <c r="B41" s="60" t="s">
        <v>85</v>
      </c>
      <c r="C41" s="53"/>
      <c r="D41" s="20">
        <v>0</v>
      </c>
      <c r="E41" s="73"/>
      <c r="F41" s="73"/>
      <c r="G41" s="14"/>
      <c r="H41" s="14"/>
      <c r="I41" s="29"/>
      <c r="J41" s="29"/>
      <c r="K41" s="29"/>
      <c r="L41" s="29"/>
      <c r="M41" s="29"/>
      <c r="N41" s="29"/>
      <c r="O41" s="29"/>
      <c r="P41" s="29"/>
      <c r="Q41" s="29"/>
      <c r="R41" s="29"/>
      <c r="S41" s="29"/>
      <c r="T41" s="29"/>
      <c r="U41" s="29"/>
      <c r="V41" s="29"/>
      <c r="W41" s="29"/>
      <c r="X41" s="29"/>
      <c r="Y41" s="30"/>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row>
    <row r="42" spans="1:64" s="3" customFormat="1" ht="30" customHeight="1" thickBot="1" x14ac:dyDescent="0.3">
      <c r="A42" s="43"/>
      <c r="B42" s="60" t="s">
        <v>86</v>
      </c>
      <c r="C42" s="53"/>
      <c r="D42" s="20">
        <v>0</v>
      </c>
      <c r="E42" s="73"/>
      <c r="F42" s="73"/>
      <c r="G42" s="14"/>
      <c r="H42" s="14"/>
      <c r="I42" s="29"/>
      <c r="J42" s="29"/>
      <c r="K42" s="29"/>
      <c r="L42" s="29"/>
      <c r="M42" s="29"/>
      <c r="N42" s="29"/>
      <c r="O42" s="29"/>
      <c r="P42" s="29"/>
      <c r="Q42" s="29"/>
      <c r="R42" s="29"/>
      <c r="S42" s="29"/>
      <c r="T42" s="29"/>
      <c r="U42" s="29"/>
      <c r="V42" s="29"/>
      <c r="W42" s="29"/>
      <c r="X42" s="29"/>
      <c r="Y42" s="30"/>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row>
    <row r="43" spans="1:64" s="3" customFormat="1" ht="30" customHeight="1" thickBot="1" x14ac:dyDescent="0.3">
      <c r="A43" s="43"/>
      <c r="B43" s="60" t="s">
        <v>87</v>
      </c>
      <c r="C43" s="53"/>
      <c r="D43" s="20">
        <v>0</v>
      </c>
      <c r="E43" s="73"/>
      <c r="F43" s="73"/>
      <c r="G43" s="14"/>
      <c r="H43" s="14"/>
      <c r="I43" s="29"/>
      <c r="J43" s="29"/>
      <c r="K43" s="29"/>
      <c r="L43" s="29"/>
      <c r="M43" s="29"/>
      <c r="N43" s="29"/>
      <c r="O43" s="29"/>
      <c r="P43" s="29"/>
      <c r="Q43" s="29"/>
      <c r="R43" s="29"/>
      <c r="S43" s="29"/>
      <c r="T43" s="29"/>
      <c r="U43" s="29"/>
      <c r="V43" s="29"/>
      <c r="W43" s="29"/>
      <c r="X43" s="29"/>
      <c r="Y43" s="30"/>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row>
    <row r="44" spans="1:64" s="3" customFormat="1" ht="30" customHeight="1" thickBot="1" x14ac:dyDescent="0.3">
      <c r="A44" s="43"/>
      <c r="B44" s="60" t="s">
        <v>88</v>
      </c>
      <c r="C44" s="53"/>
      <c r="D44" s="20">
        <v>0</v>
      </c>
      <c r="E44" s="73"/>
      <c r="F44" s="73"/>
      <c r="G44" s="14"/>
      <c r="H44" s="14"/>
      <c r="I44" s="29"/>
      <c r="J44" s="29"/>
      <c r="K44" s="29"/>
      <c r="L44" s="29"/>
      <c r="M44" s="29"/>
      <c r="N44" s="29"/>
      <c r="O44" s="29"/>
      <c r="P44" s="29"/>
      <c r="Q44" s="29"/>
      <c r="R44" s="29"/>
      <c r="S44" s="29"/>
      <c r="T44" s="29"/>
      <c r="U44" s="29"/>
      <c r="V44" s="29"/>
      <c r="W44" s="29"/>
      <c r="X44" s="29"/>
      <c r="Y44" s="30"/>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row>
    <row r="45" spans="1:64" s="3" customFormat="1" ht="30" customHeight="1" thickBot="1" x14ac:dyDescent="0.3">
      <c r="A45" s="43" t="s">
        <v>66</v>
      </c>
      <c r="B45" s="60" t="s">
        <v>78</v>
      </c>
      <c r="C45" s="53"/>
      <c r="D45" s="20">
        <v>0</v>
      </c>
      <c r="E45" s="73"/>
      <c r="F45" s="73"/>
      <c r="G45" s="14"/>
      <c r="H45" s="14"/>
      <c r="I45" s="29"/>
      <c r="J45" s="29"/>
      <c r="K45" s="29"/>
      <c r="L45" s="29"/>
      <c r="M45" s="29"/>
      <c r="N45" s="29"/>
      <c r="O45" s="29"/>
      <c r="P45" s="29"/>
      <c r="Q45" s="29"/>
      <c r="R45" s="29"/>
      <c r="S45" s="29"/>
      <c r="T45" s="29"/>
      <c r="U45" s="29"/>
      <c r="V45" s="29"/>
      <c r="W45" s="29"/>
      <c r="X45" s="29"/>
      <c r="Y45" s="30"/>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1:64" s="3" customFormat="1" ht="30" customHeight="1" thickBot="1" x14ac:dyDescent="0.3">
      <c r="A46" s="43"/>
      <c r="B46" s="60" t="s">
        <v>79</v>
      </c>
      <c r="C46" s="53"/>
      <c r="D46" s="20">
        <v>0</v>
      </c>
      <c r="E46" s="73"/>
      <c r="F46" s="73"/>
      <c r="G46" s="14"/>
      <c r="H46" s="14"/>
      <c r="I46" s="29"/>
      <c r="J46" s="29"/>
      <c r="K46" s="29"/>
      <c r="L46" s="29"/>
      <c r="M46" s="29"/>
      <c r="N46" s="29"/>
      <c r="O46" s="29"/>
      <c r="P46" s="29"/>
      <c r="Q46" s="29"/>
      <c r="R46" s="29"/>
      <c r="S46" s="29"/>
      <c r="T46" s="29"/>
      <c r="U46" s="29"/>
      <c r="V46" s="29"/>
      <c r="W46" s="29"/>
      <c r="X46" s="29"/>
      <c r="Y46" s="30"/>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row>
    <row r="47" spans="1:64" s="3" customFormat="1" ht="30" customHeight="1" thickBot="1" x14ac:dyDescent="0.3">
      <c r="A47" s="43"/>
      <c r="B47" s="60" t="s">
        <v>89</v>
      </c>
      <c r="C47" s="53"/>
      <c r="D47" s="20">
        <v>0</v>
      </c>
      <c r="E47" s="73"/>
      <c r="F47" s="73"/>
      <c r="G47" s="14"/>
      <c r="H47" s="14"/>
      <c r="I47" s="29"/>
      <c r="J47" s="29"/>
      <c r="K47" s="29"/>
      <c r="L47" s="29"/>
      <c r="M47" s="29"/>
      <c r="N47" s="29"/>
      <c r="O47" s="29"/>
      <c r="P47" s="29"/>
      <c r="Q47" s="29"/>
      <c r="R47" s="29"/>
      <c r="S47" s="29"/>
      <c r="T47" s="29"/>
      <c r="U47" s="29"/>
      <c r="V47" s="29"/>
      <c r="W47" s="29"/>
      <c r="X47" s="29"/>
      <c r="Y47" s="30"/>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row>
    <row r="48" spans="1:64" s="3" customFormat="1" ht="30" customHeight="1" thickBot="1" x14ac:dyDescent="0.3">
      <c r="A48" s="43" t="s">
        <v>11</v>
      </c>
      <c r="B48" s="21" t="s">
        <v>46</v>
      </c>
      <c r="C48" s="54"/>
      <c r="D48" s="54"/>
      <c r="E48" s="74">
        <v>46363</v>
      </c>
      <c r="F48" s="75">
        <v>46397</v>
      </c>
      <c r="G48" s="14"/>
      <c r="H48" s="14">
        <f t="shared" si="5"/>
        <v>35</v>
      </c>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row>
    <row r="49" spans="1:64" s="3" customFormat="1" ht="30" customHeight="1" thickBot="1" x14ac:dyDescent="0.3">
      <c r="A49" s="43"/>
      <c r="B49" s="61" t="s">
        <v>113</v>
      </c>
      <c r="C49" s="55"/>
      <c r="D49" s="22">
        <v>0.9</v>
      </c>
      <c r="E49" s="76" t="s">
        <v>112</v>
      </c>
      <c r="F49" s="76" t="s">
        <v>112</v>
      </c>
      <c r="G49" s="14"/>
      <c r="H49" s="14" t="e">
        <f t="shared" si="5"/>
        <v>#VALUE!</v>
      </c>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row>
    <row r="50" spans="1:64" s="3" customFormat="1" ht="30" customHeight="1" thickBot="1" x14ac:dyDescent="0.3">
      <c r="A50" s="43"/>
      <c r="B50" s="61" t="s">
        <v>90</v>
      </c>
      <c r="C50" s="55"/>
      <c r="D50" s="22">
        <v>0</v>
      </c>
      <c r="E50" s="76"/>
      <c r="F50" s="76"/>
      <c r="G50" s="14"/>
      <c r="H50" s="14"/>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row>
    <row r="51" spans="1:64" s="3" customFormat="1" ht="30" customHeight="1" thickBot="1" x14ac:dyDescent="0.3">
      <c r="A51" s="43"/>
      <c r="B51" s="61" t="s">
        <v>91</v>
      </c>
      <c r="C51" s="55"/>
      <c r="D51" s="22">
        <v>0</v>
      </c>
      <c r="E51" s="76"/>
      <c r="F51" s="76"/>
      <c r="G51" s="14"/>
      <c r="H51" s="14" t="str">
        <f t="shared" si="5"/>
        <v/>
      </c>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row>
    <row r="52" spans="1:64" s="3" customFormat="1" ht="30" customHeight="1" thickBot="1" x14ac:dyDescent="0.3">
      <c r="A52" s="43"/>
      <c r="B52" s="61" t="s">
        <v>92</v>
      </c>
      <c r="C52" s="55"/>
      <c r="D52" s="22">
        <v>0</v>
      </c>
      <c r="E52" s="76"/>
      <c r="F52" s="76"/>
      <c r="G52" s="14"/>
      <c r="H52" s="14" t="str">
        <f t="shared" si="5"/>
        <v/>
      </c>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row>
    <row r="53" spans="1:64" s="3" customFormat="1" ht="30" customHeight="1" thickBot="1" x14ac:dyDescent="0.3">
      <c r="A53" s="43"/>
      <c r="B53" s="61" t="s">
        <v>125</v>
      </c>
      <c r="C53" s="55"/>
      <c r="D53" s="22">
        <v>0</v>
      </c>
      <c r="E53" s="76"/>
      <c r="F53" s="76"/>
      <c r="G53" s="14"/>
      <c r="H53" s="14" t="str">
        <f t="shared" si="5"/>
        <v/>
      </c>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row>
    <row r="54" spans="1:64" s="3" customFormat="1" ht="30" customHeight="1" thickBot="1" x14ac:dyDescent="0.3">
      <c r="A54" s="43"/>
      <c r="B54" s="61" t="s">
        <v>93</v>
      </c>
      <c r="C54" s="55"/>
      <c r="D54" s="22">
        <v>0</v>
      </c>
      <c r="E54" s="76"/>
      <c r="F54" s="76"/>
      <c r="G54" s="14"/>
      <c r="H54" s="14"/>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row>
    <row r="55" spans="1:64" s="3" customFormat="1" ht="30" customHeight="1" thickBot="1" x14ac:dyDescent="0.3">
      <c r="A55" s="43"/>
      <c r="B55" s="61" t="s">
        <v>124</v>
      </c>
      <c r="C55" s="55"/>
      <c r="D55" s="22">
        <v>0</v>
      </c>
      <c r="E55" s="76"/>
      <c r="F55" s="76"/>
      <c r="G55" s="14"/>
      <c r="H55" s="14"/>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row>
    <row r="56" spans="1:64" s="3" customFormat="1" ht="30" customHeight="1" thickBot="1" x14ac:dyDescent="0.3">
      <c r="A56" s="43"/>
      <c r="B56" s="61" t="s">
        <v>94</v>
      </c>
      <c r="C56" s="55"/>
      <c r="D56" s="22">
        <v>0</v>
      </c>
      <c r="E56" s="76"/>
      <c r="F56" s="76"/>
      <c r="G56" s="14"/>
      <c r="H56" s="14"/>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row>
    <row r="57" spans="1:64" s="3" customFormat="1" ht="30" customHeight="1" thickBot="1" x14ac:dyDescent="0.3">
      <c r="A57" s="43"/>
      <c r="B57" s="61" t="s">
        <v>95</v>
      </c>
      <c r="C57" s="55"/>
      <c r="D57" s="22">
        <v>0</v>
      </c>
      <c r="E57" s="76"/>
      <c r="F57" s="76"/>
      <c r="G57" s="14"/>
      <c r="H57" s="14"/>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row>
    <row r="58" spans="1:64" s="3" customFormat="1" ht="30" customHeight="1" thickBot="1" x14ac:dyDescent="0.3">
      <c r="A58" s="43"/>
      <c r="B58" s="61" t="s">
        <v>96</v>
      </c>
      <c r="C58" s="55"/>
      <c r="D58" s="22">
        <v>0</v>
      </c>
      <c r="E58" s="76"/>
      <c r="F58" s="76"/>
      <c r="G58" s="14"/>
      <c r="H58" s="14"/>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row>
    <row r="59" spans="1:64" s="3" customFormat="1" ht="30" customHeight="1" thickBot="1" x14ac:dyDescent="0.3">
      <c r="A59" s="43"/>
      <c r="B59" s="61" t="s">
        <v>97</v>
      </c>
      <c r="C59" s="55"/>
      <c r="D59" s="22">
        <v>0</v>
      </c>
      <c r="E59" s="76"/>
      <c r="F59" s="76"/>
      <c r="G59" s="14"/>
      <c r="H59" s="14"/>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row>
    <row r="60" spans="1:64" s="3" customFormat="1" ht="30" customHeight="1" thickBot="1" x14ac:dyDescent="0.3">
      <c r="A60" s="43"/>
      <c r="B60" s="61" t="s">
        <v>98</v>
      </c>
      <c r="C60" s="55"/>
      <c r="D60" s="22">
        <v>0</v>
      </c>
      <c r="E60" s="76"/>
      <c r="F60" s="76"/>
      <c r="G60" s="14"/>
      <c r="H60" s="14"/>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row>
    <row r="61" spans="1:64" s="3" customFormat="1" ht="30" customHeight="1" thickBot="1" x14ac:dyDescent="0.3">
      <c r="A61" s="43"/>
      <c r="B61" s="61" t="s">
        <v>99</v>
      </c>
      <c r="C61" s="55"/>
      <c r="D61" s="22">
        <v>0</v>
      </c>
      <c r="E61" s="76"/>
      <c r="F61" s="76"/>
      <c r="G61" s="14"/>
      <c r="H61" s="14"/>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row>
    <row r="62" spans="1:64" s="3" customFormat="1" ht="30" customHeight="1" thickBot="1" x14ac:dyDescent="0.3">
      <c r="A62" s="43"/>
      <c r="B62" s="61" t="s">
        <v>100</v>
      </c>
      <c r="C62" s="55"/>
      <c r="D62" s="22">
        <v>0</v>
      </c>
      <c r="E62" s="76"/>
      <c r="F62" s="76"/>
      <c r="G62" s="14"/>
      <c r="H62" s="14"/>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row>
    <row r="63" spans="1:64" s="3" customFormat="1" ht="30" customHeight="1" thickBot="1" x14ac:dyDescent="0.3">
      <c r="A63" s="43"/>
      <c r="B63" s="61" t="s">
        <v>101</v>
      </c>
      <c r="C63" s="55"/>
      <c r="D63" s="22">
        <v>0</v>
      </c>
      <c r="E63" s="76"/>
      <c r="F63" s="76"/>
      <c r="G63" s="14"/>
      <c r="H63" s="14"/>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row>
    <row r="64" spans="1:64" s="3" customFormat="1" ht="30" customHeight="1" thickBot="1" x14ac:dyDescent="0.3">
      <c r="A64" s="43"/>
      <c r="B64" s="61" t="s">
        <v>102</v>
      </c>
      <c r="C64" s="55"/>
      <c r="D64" s="22">
        <v>0</v>
      </c>
      <c r="E64" s="76"/>
      <c r="F64" s="76"/>
      <c r="G64" s="14"/>
      <c r="H64" s="14"/>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row>
    <row r="65" spans="1:64" s="3" customFormat="1" ht="30" customHeight="1" thickBot="1" x14ac:dyDescent="0.3">
      <c r="A65" s="43" t="s">
        <v>11</v>
      </c>
      <c r="B65" s="23" t="s">
        <v>47</v>
      </c>
      <c r="C65" s="56"/>
      <c r="D65" s="56"/>
      <c r="E65" s="77">
        <v>46398</v>
      </c>
      <c r="F65" s="78">
        <v>46060</v>
      </c>
      <c r="G65" s="14"/>
      <c r="H65" s="14">
        <f t="shared" si="5"/>
        <v>-337</v>
      </c>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row>
    <row r="66" spans="1:64" s="3" customFormat="1" ht="30" customHeight="1" thickBot="1" x14ac:dyDescent="0.3">
      <c r="A66" s="43"/>
      <c r="B66" s="62" t="s">
        <v>103</v>
      </c>
      <c r="C66" s="57"/>
      <c r="D66" s="24">
        <v>0</v>
      </c>
      <c r="E66" s="79"/>
      <c r="F66" s="79"/>
      <c r="G66" s="14"/>
      <c r="H66" s="14" t="str">
        <f t="shared" si="5"/>
        <v/>
      </c>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row>
    <row r="67" spans="1:64" s="3" customFormat="1" ht="30" customHeight="1" thickBot="1" x14ac:dyDescent="0.3">
      <c r="A67" s="43"/>
      <c r="B67" s="62" t="s">
        <v>104</v>
      </c>
      <c r="C67" s="57"/>
      <c r="D67" s="24">
        <v>0</v>
      </c>
      <c r="E67" s="79"/>
      <c r="F67" s="79"/>
      <c r="G67" s="14"/>
      <c r="H67" s="14" t="str">
        <f t="shared" si="5"/>
        <v/>
      </c>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row>
    <row r="68" spans="1:64" s="3" customFormat="1" ht="30" customHeight="1" thickBot="1" x14ac:dyDescent="0.3">
      <c r="A68" s="43"/>
      <c r="B68" s="62" t="s">
        <v>105</v>
      </c>
      <c r="C68" s="57"/>
      <c r="D68" s="24">
        <v>0</v>
      </c>
      <c r="E68" s="79"/>
      <c r="F68" s="79"/>
      <c r="G68" s="14"/>
      <c r="H68" s="14" t="str">
        <f t="shared" si="5"/>
        <v/>
      </c>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row>
    <row r="69" spans="1:64" s="3" customFormat="1" ht="30" customHeight="1" thickBot="1" x14ac:dyDescent="0.3">
      <c r="A69" s="43"/>
      <c r="B69" s="62" t="s">
        <v>106</v>
      </c>
      <c r="C69" s="57"/>
      <c r="D69" s="24">
        <v>0</v>
      </c>
      <c r="E69" s="79"/>
      <c r="F69" s="79"/>
      <c r="G69" s="14"/>
      <c r="H69" s="14" t="str">
        <f t="shared" si="5"/>
        <v/>
      </c>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row>
    <row r="70" spans="1:64" s="3" customFormat="1" ht="30" customHeight="1" thickBot="1" x14ac:dyDescent="0.3">
      <c r="A70" s="43"/>
      <c r="B70" s="62" t="s">
        <v>107</v>
      </c>
      <c r="C70" s="57"/>
      <c r="D70" s="24">
        <v>0</v>
      </c>
      <c r="E70" s="79"/>
      <c r="F70" s="79"/>
      <c r="G70" s="14"/>
      <c r="H70" s="14"/>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row>
    <row r="71" spans="1:64" s="3" customFormat="1" ht="30" customHeight="1" thickBot="1" x14ac:dyDescent="0.3">
      <c r="A71" s="43"/>
      <c r="B71" s="62" t="s">
        <v>108</v>
      </c>
      <c r="C71" s="57"/>
      <c r="D71" s="24">
        <v>0</v>
      </c>
      <c r="E71" s="79"/>
      <c r="F71" s="79"/>
      <c r="G71" s="14"/>
      <c r="H71" s="14"/>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row>
    <row r="72" spans="1:64" s="3" customFormat="1" ht="30" customHeight="1" thickBot="1" x14ac:dyDescent="0.3">
      <c r="A72" s="43"/>
      <c r="B72" s="62" t="s">
        <v>109</v>
      </c>
      <c r="C72" s="57"/>
      <c r="D72" s="24">
        <v>0</v>
      </c>
      <c r="E72" s="79"/>
      <c r="F72" s="79"/>
      <c r="G72" s="14"/>
      <c r="H72" s="14"/>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row>
    <row r="73" spans="1:64" s="3" customFormat="1" ht="30" customHeight="1" thickBot="1" x14ac:dyDescent="0.3">
      <c r="A73" s="43"/>
      <c r="B73" s="62" t="s">
        <v>110</v>
      </c>
      <c r="C73" s="57"/>
      <c r="D73" s="24">
        <v>0</v>
      </c>
      <c r="E73" s="79"/>
      <c r="F73" s="79"/>
      <c r="G73" s="14"/>
      <c r="H73" s="14"/>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row>
    <row r="74" spans="1:64" s="3" customFormat="1" ht="30" customHeight="1" thickBot="1" x14ac:dyDescent="0.3">
      <c r="A74" s="43"/>
      <c r="B74" s="62" t="s">
        <v>111</v>
      </c>
      <c r="C74" s="57"/>
      <c r="D74" s="24">
        <v>0</v>
      </c>
      <c r="E74" s="79"/>
      <c r="F74" s="79"/>
      <c r="G74" s="14"/>
      <c r="H74" s="14"/>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row>
    <row r="75" spans="1:64" s="3" customFormat="1" ht="30" customHeight="1" thickBot="1" x14ac:dyDescent="0.3">
      <c r="A75" s="43"/>
      <c r="B75" s="62" t="s">
        <v>122</v>
      </c>
      <c r="C75" s="57"/>
      <c r="D75" s="24">
        <v>0</v>
      </c>
      <c r="E75" s="79"/>
      <c r="F75" s="79"/>
      <c r="G75" s="14"/>
      <c r="H75" s="14"/>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row>
    <row r="76" spans="1:64" s="3" customFormat="1" ht="30" customHeight="1" thickBot="1" x14ac:dyDescent="0.3">
      <c r="A76" s="43"/>
      <c r="B76" s="62" t="s">
        <v>78</v>
      </c>
      <c r="C76" s="57"/>
      <c r="D76" s="24">
        <v>0</v>
      </c>
      <c r="E76" s="79"/>
      <c r="F76" s="79"/>
      <c r="G76" s="14"/>
      <c r="H76" s="14"/>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row>
    <row r="77" spans="1:64" s="3" customFormat="1" ht="30" customHeight="1" thickBot="1" x14ac:dyDescent="0.3">
      <c r="A77" s="43"/>
      <c r="B77" s="62"/>
      <c r="C77" s="57"/>
      <c r="D77" s="24">
        <v>0</v>
      </c>
      <c r="E77" s="79"/>
      <c r="F77" s="79"/>
      <c r="G77" s="14"/>
      <c r="H77" s="14"/>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row>
    <row r="78" spans="1:64" s="3" customFormat="1" ht="30" customHeight="1" thickBot="1" x14ac:dyDescent="0.3">
      <c r="A78" s="43"/>
      <c r="B78" s="62"/>
      <c r="C78" s="57"/>
      <c r="D78" s="24">
        <v>0</v>
      </c>
      <c r="E78" s="79" t="s">
        <v>26</v>
      </c>
      <c r="F78" s="79" t="s">
        <v>26</v>
      </c>
      <c r="G78" s="14"/>
      <c r="H78" s="14" t="e">
        <f t="shared" si="5"/>
        <v>#VALUE!</v>
      </c>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row>
    <row r="79" spans="1:64" s="3" customFormat="1" ht="30" customHeight="1" thickBot="1" x14ac:dyDescent="0.3">
      <c r="A79" s="43"/>
      <c r="B79" s="95" t="s">
        <v>48</v>
      </c>
      <c r="C79" s="96"/>
      <c r="D79" s="97"/>
      <c r="E79" s="98">
        <v>46426</v>
      </c>
      <c r="F79" s="99">
        <v>46460</v>
      </c>
      <c r="G79" s="14"/>
      <c r="H79" s="14"/>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row>
    <row r="80" spans="1:64" s="3" customFormat="1" ht="30" customHeight="1" thickBot="1" x14ac:dyDescent="0.3">
      <c r="A80" s="43"/>
      <c r="B80" s="100" t="s">
        <v>53</v>
      </c>
      <c r="C80" s="96"/>
      <c r="D80" s="97">
        <v>0</v>
      </c>
      <c r="E80" s="101"/>
      <c r="F80" s="101"/>
      <c r="G80" s="14"/>
      <c r="H80" s="14"/>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row>
    <row r="81" spans="1:64" s="3" customFormat="1" ht="30" customHeight="1" thickBot="1" x14ac:dyDescent="0.3">
      <c r="A81" s="43"/>
      <c r="B81" s="100" t="s">
        <v>52</v>
      </c>
      <c r="C81" s="96"/>
      <c r="D81" s="97">
        <v>0</v>
      </c>
      <c r="E81" s="101"/>
      <c r="F81" s="101"/>
      <c r="G81" s="14"/>
      <c r="H81" s="14"/>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row>
    <row r="82" spans="1:64" s="3" customFormat="1" ht="30" customHeight="1" thickBot="1" x14ac:dyDescent="0.3">
      <c r="A82" s="43"/>
      <c r="B82" s="100" t="s">
        <v>121</v>
      </c>
      <c r="C82" s="96"/>
      <c r="D82" s="97">
        <v>0</v>
      </c>
      <c r="E82" s="101"/>
      <c r="F82" s="101"/>
      <c r="G82" s="14"/>
      <c r="H82" s="14"/>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row>
    <row r="83" spans="1:64" s="3" customFormat="1" ht="30" customHeight="1" thickBot="1" x14ac:dyDescent="0.3">
      <c r="A83" s="43"/>
      <c r="B83" s="100" t="s">
        <v>123</v>
      </c>
      <c r="C83" s="96"/>
      <c r="D83" s="97">
        <v>0</v>
      </c>
      <c r="E83" s="101"/>
      <c r="F83" s="101"/>
      <c r="G83" s="14"/>
      <c r="H83" s="14"/>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row>
    <row r="84" spans="1:64" s="3" customFormat="1" ht="30" customHeight="1" thickBot="1" x14ac:dyDescent="0.3">
      <c r="A84" s="43"/>
      <c r="B84" s="100" t="s">
        <v>19</v>
      </c>
      <c r="C84" s="96"/>
      <c r="D84" s="97">
        <v>0</v>
      </c>
      <c r="E84" s="101"/>
      <c r="F84" s="101"/>
      <c r="G84" s="14"/>
      <c r="H84" s="14"/>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row>
    <row r="85" spans="1:64" s="3" customFormat="1" ht="30" customHeight="1" thickBot="1" x14ac:dyDescent="0.3">
      <c r="A85" s="43"/>
      <c r="B85" s="15" t="s">
        <v>49</v>
      </c>
      <c r="C85" s="50"/>
      <c r="D85" s="16"/>
      <c r="E85" s="68">
        <v>46461</v>
      </c>
      <c r="F85" s="69">
        <v>46502</v>
      </c>
      <c r="G85" s="14"/>
      <c r="H85" s="14"/>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row>
    <row r="86" spans="1:64" s="3" customFormat="1" ht="30" customHeight="1" thickBot="1" x14ac:dyDescent="0.3">
      <c r="A86" s="43"/>
      <c r="B86" s="93" t="s">
        <v>54</v>
      </c>
      <c r="C86" s="50"/>
      <c r="D86" s="16">
        <v>0</v>
      </c>
      <c r="E86" s="94"/>
      <c r="F86" s="94"/>
      <c r="G86" s="14"/>
      <c r="H86" s="14"/>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row>
    <row r="87" spans="1:64" s="3" customFormat="1" ht="30" customHeight="1" thickBot="1" x14ac:dyDescent="0.3">
      <c r="A87" s="43"/>
      <c r="B87" s="93" t="s">
        <v>117</v>
      </c>
      <c r="C87" s="50"/>
      <c r="D87" s="16">
        <v>0</v>
      </c>
      <c r="E87" s="94"/>
      <c r="F87" s="94"/>
      <c r="G87" s="14"/>
      <c r="H87" s="14"/>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row>
    <row r="88" spans="1:64" s="3" customFormat="1" ht="30" customHeight="1" thickBot="1" x14ac:dyDescent="0.3">
      <c r="A88" s="43"/>
      <c r="B88" s="93" t="s">
        <v>118</v>
      </c>
      <c r="C88" s="50"/>
      <c r="D88" s="16">
        <v>0</v>
      </c>
      <c r="E88" s="94"/>
      <c r="F88" s="94"/>
      <c r="G88" s="14"/>
      <c r="H88" s="14"/>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row>
    <row r="89" spans="1:64" s="3" customFormat="1" ht="30" customHeight="1" thickBot="1" x14ac:dyDescent="0.3">
      <c r="A89" s="43"/>
      <c r="B89" s="93" t="s">
        <v>119</v>
      </c>
      <c r="C89" s="50"/>
      <c r="D89" s="16">
        <v>0</v>
      </c>
      <c r="E89" s="94"/>
      <c r="F89" s="94"/>
      <c r="G89" s="14"/>
      <c r="H89" s="14"/>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row>
    <row r="90" spans="1:64" s="3" customFormat="1" ht="30" customHeight="1" thickBot="1" x14ac:dyDescent="0.3">
      <c r="A90" s="43"/>
      <c r="B90" s="93" t="s">
        <v>120</v>
      </c>
      <c r="C90" s="50"/>
      <c r="D90" s="16">
        <v>0</v>
      </c>
      <c r="E90" s="94"/>
      <c r="F90" s="94"/>
      <c r="G90" s="14"/>
      <c r="H90" s="14"/>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row>
    <row r="91" spans="1:64" s="3" customFormat="1" ht="30" customHeight="1" thickBot="1" x14ac:dyDescent="0.3">
      <c r="A91" s="43"/>
      <c r="B91" s="90" t="s">
        <v>50</v>
      </c>
      <c r="C91" s="87"/>
      <c r="D91" s="88"/>
      <c r="E91" s="91">
        <v>46502</v>
      </c>
      <c r="F91" s="92">
        <v>46527</v>
      </c>
      <c r="G91" s="14"/>
      <c r="H91" s="14"/>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row>
    <row r="92" spans="1:64" s="3" customFormat="1" ht="30" customHeight="1" thickBot="1" x14ac:dyDescent="0.3">
      <c r="A92" s="43"/>
      <c r="B92" s="86" t="s">
        <v>15</v>
      </c>
      <c r="C92" s="87"/>
      <c r="D92" s="88">
        <v>0</v>
      </c>
      <c r="E92" s="89"/>
      <c r="F92" s="89"/>
      <c r="G92" s="14"/>
      <c r="H92" s="14"/>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row>
    <row r="93" spans="1:64" s="3" customFormat="1" ht="30" customHeight="1" thickBot="1" x14ac:dyDescent="0.3">
      <c r="A93" s="43"/>
      <c r="B93" s="86" t="s">
        <v>16</v>
      </c>
      <c r="C93" s="87"/>
      <c r="D93" s="88">
        <v>0</v>
      </c>
      <c r="E93" s="89"/>
      <c r="F93" s="89"/>
      <c r="G93" s="14"/>
      <c r="H93" s="14"/>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row>
    <row r="94" spans="1:64" s="3" customFormat="1" ht="30" customHeight="1" thickBot="1" x14ac:dyDescent="0.3">
      <c r="A94" s="43"/>
      <c r="B94" s="86" t="s">
        <v>17</v>
      </c>
      <c r="C94" s="87"/>
      <c r="D94" s="88">
        <v>0</v>
      </c>
      <c r="E94" s="89"/>
      <c r="F94" s="89"/>
      <c r="G94" s="14"/>
      <c r="H94" s="14"/>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row>
    <row r="95" spans="1:64" s="3" customFormat="1" ht="30" customHeight="1" thickBot="1" x14ac:dyDescent="0.3">
      <c r="A95" s="43"/>
      <c r="B95" s="86" t="s">
        <v>18</v>
      </c>
      <c r="C95" s="87"/>
      <c r="D95" s="88">
        <v>0</v>
      </c>
      <c r="E95" s="89"/>
      <c r="F95" s="89"/>
      <c r="G95" s="14"/>
      <c r="H95" s="14"/>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row>
    <row r="96" spans="1:64" s="3" customFormat="1" ht="30" customHeight="1" thickBot="1" x14ac:dyDescent="0.3">
      <c r="A96" s="43"/>
      <c r="B96" s="86" t="s">
        <v>19</v>
      </c>
      <c r="C96" s="87"/>
      <c r="D96" s="88">
        <v>0</v>
      </c>
      <c r="E96" s="89"/>
      <c r="F96" s="89"/>
      <c r="G96" s="14"/>
      <c r="H96" s="14"/>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row>
    <row r="97" spans="1:64" s="3" customFormat="1" ht="30" customHeight="1" thickBot="1" x14ac:dyDescent="0.3">
      <c r="A97" s="43" t="s">
        <v>12</v>
      </c>
      <c r="B97" s="63"/>
      <c r="C97" s="58"/>
      <c r="D97" s="13"/>
      <c r="E97" s="80"/>
      <c r="F97" s="80"/>
      <c r="G97" s="14"/>
      <c r="H97" s="14" t="str">
        <f t="shared" si="5"/>
        <v/>
      </c>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row>
    <row r="98" spans="1:64" s="3" customFormat="1" ht="30" customHeight="1" thickBot="1" x14ac:dyDescent="0.3">
      <c r="A98" s="44" t="s">
        <v>13</v>
      </c>
      <c r="B98" s="25" t="s">
        <v>20</v>
      </c>
      <c r="C98" s="26"/>
      <c r="D98" s="27"/>
      <c r="E98" s="81"/>
      <c r="F98" s="82"/>
      <c r="G98" s="28"/>
      <c r="H98" s="28" t="str">
        <f t="shared" si="5"/>
        <v/>
      </c>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row>
    <row r="99" spans="1:64" ht="30" customHeight="1" x14ac:dyDescent="0.25">
      <c r="G99" s="6"/>
    </row>
    <row r="100" spans="1:64" ht="30" customHeight="1" x14ac:dyDescent="0.25">
      <c r="C100" s="11"/>
      <c r="F100" s="45"/>
    </row>
    <row r="101" spans="1:64" ht="30" customHeight="1" x14ac:dyDescent="0.25">
      <c r="C101"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47 D66:D98 D49:D6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98">
    <cfRule type="expression" dxfId="2" priority="33">
      <formula>AND(TODAY()&gt;=I$5,TODAY()&lt;J$5)</formula>
    </cfRule>
  </conditionalFormatting>
  <conditionalFormatting sqref="I7:BL98">
    <cfRule type="expression" dxfId="1" priority="27">
      <formula>AND(task_start&lt;=I$5,ROUNDDOWN((task_end-task_start+1)*task_progress,0)+task_start-1&gt;=I$5)</formula>
    </cfRule>
    <cfRule type="expression" dxfId="0" priority="28" stopIfTrue="1">
      <formula>AND(task_end&gt;=I$5,task_start&lt;J$5)</formula>
    </cfRule>
  </conditionalFormatting>
  <dataValidations disablePrompts="1"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s>
  <printOptions horizontalCentered="1"/>
  <pageMargins left="0.35" right="0.35" top="0.35" bottom="0.5" header="0.3" footer="0.3"/>
  <pageSetup paperSize="9" scale="60" fitToHeight="0" orientation="landscape" r:id="rId2"/>
  <headerFooter differentFirst="1" scaleWithDoc="0">
    <oddFooter>Page &amp;P of &amp;N</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2050" r:id="rId5" name="Scroll Bar 2">
              <controlPr defaultSize="0" autoPict="0">
                <anchor moveWithCells="1">
                  <from>
                    <xdr:col>8</xdr:col>
                    <xdr:colOff>47625</xdr:colOff>
                    <xdr:row>1</xdr:row>
                    <xdr:rowOff>352425</xdr:rowOff>
                  </from>
                  <to>
                    <xdr:col>41</xdr:col>
                    <xdr:colOff>123825</xdr:colOff>
                    <xdr:row>2</xdr:row>
                    <xdr:rowOff>323850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D7:D47 D66:D98 D49:D64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6" zoomScaleNormal="100" workbookViewId="0">
      <selection activeCell="A10" sqref="A10"/>
    </sheetView>
  </sheetViews>
  <sheetFormatPr baseColWidth="10" defaultColWidth="9.140625" defaultRowHeight="12.75" x14ac:dyDescent="0.2"/>
  <cols>
    <col min="1" max="1" width="104.7109375" style="33" bestFit="1" customWidth="1"/>
    <col min="2" max="16384" width="9.140625" style="2"/>
  </cols>
  <sheetData>
    <row r="1" spans="1:2" ht="46.5" customHeight="1" x14ac:dyDescent="0.2"/>
    <row r="2" spans="1:2" s="35" customFormat="1" ht="15.75" x14ac:dyDescent="0.25">
      <c r="A2" s="34" t="s">
        <v>29</v>
      </c>
      <c r="B2" s="34"/>
    </row>
    <row r="3" spans="1:2" s="39" customFormat="1" ht="27" customHeight="1" x14ac:dyDescent="0.25">
      <c r="A3" s="67" t="s">
        <v>30</v>
      </c>
      <c r="B3" s="40"/>
    </row>
    <row r="4" spans="1:2" s="36" customFormat="1" ht="26.25" x14ac:dyDescent="0.4">
      <c r="A4" s="37" t="s">
        <v>31</v>
      </c>
    </row>
    <row r="5" spans="1:2" ht="74.099999999999994" customHeight="1" x14ac:dyDescent="0.2">
      <c r="A5" s="38" t="s">
        <v>32</v>
      </c>
    </row>
    <row r="6" spans="1:2" ht="26.25" customHeight="1" x14ac:dyDescent="0.2">
      <c r="A6" s="37" t="s">
        <v>33</v>
      </c>
    </row>
    <row r="7" spans="1:2" s="33" customFormat="1" ht="204.95" customHeight="1" x14ac:dyDescent="0.25">
      <c r="A7" s="42" t="s">
        <v>34</v>
      </c>
    </row>
    <row r="8" spans="1:2" s="36" customFormat="1" ht="26.25" x14ac:dyDescent="0.4">
      <c r="A8" s="37" t="s">
        <v>35</v>
      </c>
    </row>
    <row r="9" spans="1:2" ht="60" customHeight="1" x14ac:dyDescent="0.2">
      <c r="A9" s="38" t="s">
        <v>36</v>
      </c>
    </row>
    <row r="10" spans="1:2" s="33" customFormat="1" ht="27.95" customHeight="1" x14ac:dyDescent="0.25">
      <c r="A10" s="41" t="s">
        <v>37</v>
      </c>
    </row>
    <row r="11" spans="1:2" s="36" customFormat="1" ht="26.25" x14ac:dyDescent="0.4">
      <c r="A11" s="37" t="s">
        <v>38</v>
      </c>
    </row>
    <row r="12" spans="1:2" ht="30" customHeight="1" x14ac:dyDescent="0.2">
      <c r="A12" s="38" t="s">
        <v>39</v>
      </c>
    </row>
    <row r="13" spans="1:2" s="33" customFormat="1" ht="27.95" customHeight="1" x14ac:dyDescent="0.25">
      <c r="A13" s="41" t="s">
        <v>40</v>
      </c>
    </row>
    <row r="14" spans="1:2" s="36" customFormat="1" ht="26.25" x14ac:dyDescent="0.4">
      <c r="A14" s="37" t="s">
        <v>41</v>
      </c>
    </row>
    <row r="15" spans="1:2" ht="75" customHeight="1" x14ac:dyDescent="0.2">
      <c r="A15" s="38" t="s">
        <v>42</v>
      </c>
    </row>
    <row r="16" spans="1:2" ht="75" customHeight="1" x14ac:dyDescent="0.2">
      <c r="A16" s="38" t="s">
        <v>43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2026-10-01T11:00:54Z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